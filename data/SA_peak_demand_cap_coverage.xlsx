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https://dcceew2-my.sharepoint.com/personal/markus_mannheim_dcceew_gov_au/Documents/NEM Review (local)/Data analysis/Contract modelling/data/"/>
    </mc:Choice>
  </mc:AlternateContent>
  <xr:revisionPtr revIDLastSave="61" documentId="8_{7CBACB57-3AA6-488A-8C3C-49B523ABCD2B}" xr6:coauthVersionLast="47" xr6:coauthVersionMax="47" xr10:uidLastSave="{269AD90E-D0E4-49C1-8B22-EDAF2A036FCB}"/>
  <bookViews>
    <workbookView xWindow="-120" yWindow="-120" windowWidth="29040" windowHeight="15720" xr2:uid="{8F878B37-B774-41D2-9614-BEB4AF3FA545}"/>
  </bookViews>
  <sheets>
    <sheet name="SA_peak_demand_cap_covera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<sst xmlns="http://schemas.openxmlformats.org/spreadsheetml/2006/main" count="8" uniqueCount="8">
  <si>
    <t>Quarter</t>
  </si>
  <si>
    <t>Daily peak demand (MW)</t>
  </si>
  <si>
    <t>Cap coverage (MW)</t>
  </si>
  <si>
    <t>Min. peak</t>
  </si>
  <si>
    <t>Mean peak</t>
  </si>
  <si>
    <t>Max. peak</t>
  </si>
  <si>
    <t>Amount</t>
  </si>
  <si>
    <t>% of mean peak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</si>
</sst>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 mmm"/>
    <numFmt numFmtId="165" formatCode="0.0%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6" fillId="0" borderId="0" xfId="0" applyFont="1" applyAlignment="1">
      <alignment horizontal="left" vertical="top"/>
    </xf>
    <xf numFmtId="0" fontId="0" fillId="0" borderId="11" xfId="0" applyBorder="1" applyAlignment="1">
      <alignment horizontal="left" vertical="top"/>
    </xf>
    <xf numFmtId="164" fontId="0" fillId="0" borderId="11" xfId="0" applyNumberFormat="1" applyBorder="1" applyAlignment="1">
      <alignment horizontal="left" vertical="top"/>
    </xf>
    <xf numFmtId="3" fontId="0" fillId="0" borderId="0" xfId="0" applyNumberFormat="1" applyAlignment="1">
      <alignment horizontal="left" vertical="top"/>
    </xf>
    <xf numFmtId="3" fontId="0" fillId="0" borderId="11" xfId="0" applyNumberFormat="1" applyBorder="1" applyAlignment="1">
      <alignment horizontal="left" vertical="top"/>
    </xf>
    <xf numFmtId="0" fontId="0" fillId="0" borderId="11" xfId="0" applyBorder="1" applyAlignment="1">
      <alignment horizontal="left" vertical="top" wrapText="1"/>
    </xf>
    <xf numFmtId="165" fontId="0" fillId="0" borderId="0" xfId="1" applyNumberFormat="1" applyFont="1" applyAlignment="1">
      <alignment horizontal="left" vertical="top"/>
    </xf>
    <xf numFmtId="165" fontId="0" fillId="0" borderId="11" xfId="1" applyNumberFormat="1" applyFont="1" applyBorder="1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0" fontId="16" fillId="0" borderId="11" xfId="0" applyFont="1" applyBorder="1" applyAlignment="1">
      <alignment horizontal="left" vertical="top"/>
    </xf>
    <xf numFmtId="0" fontId="16" fillId="0" borderId="0" xfId="0" applyFont="1" applyAlignment="1">
      <alignment horizontal="center" vertical="top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0941-C5B8-4606-89CE-325B989DA781}">
  <dimension ref="A1:F24"/>
  <sheetViews>
    <sheetView tabSelected="1" workbookViewId="0">
      <selection sqref="A1:A2"/>
    </sheetView>
  </sheetViews>
  <sheetFormatPr defaultRowHeight="15"/>
  <cols>
    <col min="1" max="6" width="10.7109375" style="1" customWidth="1"/>
    <col min="7" max="16384" width="9.140625" style="1"/>
  </cols>
  <sheetData>
    <row r="1" spans="1:6" s="3" customFormat="1">
      <c r="A1" s="11" t="s">
        <v>0</v>
      </c>
      <c r="B1" s="11" t="s">
        <v>1</v>
      </c>
      <c r="C1" s="11"/>
      <c r="D1" s="11"/>
      <c r="E1" s="13" t="s">
        <v>2</v>
      </c>
      <c r="F1" s="13"/>
    </row>
    <row r="2" spans="1:6" ht="43.5">
      <c r="A2" s="12"/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</row>
    <row r="3" spans="1:6">
      <c r="A3" s="2">
        <v>43921</v>
      </c>
      <c r="B3" s="6">
        <v>1275.24</v>
      </c>
      <c r="C3" s="6">
        <v>1634.6624175824099</v>
      </c>
      <c r="D3" s="6">
        <v>3097.43</v>
      </c>
      <c r="E3" s="1">
        <v>689</v>
      </c>
      <c r="F3" s="9">
        <f t="shared" ref="F3:F24" si="0">E3/C3</f>
        <v>0.4214937546670946</v>
      </c>
    </row>
    <row r="4" spans="1:6">
      <c r="A4" s="2">
        <v>44012</v>
      </c>
      <c r="B4" s="6">
        <v>1273.23</v>
      </c>
      <c r="C4" s="6">
        <v>1849.3845054945</v>
      </c>
      <c r="D4" s="6">
        <v>2515.9899999999998</v>
      </c>
      <c r="E4" s="1">
        <v>328</v>
      </c>
      <c r="F4" s="9">
        <f t="shared" si="0"/>
        <v>0.17735630369212882</v>
      </c>
    </row>
    <row r="5" spans="1:6">
      <c r="A5" s="2">
        <v>44104</v>
      </c>
      <c r="B5" s="6">
        <v>1337.62</v>
      </c>
      <c r="C5" s="6">
        <v>1930.40369565217</v>
      </c>
      <c r="D5" s="6">
        <v>2409.17</v>
      </c>
      <c r="E5" s="1">
        <v>364</v>
      </c>
      <c r="F5" s="9">
        <f t="shared" si="0"/>
        <v>0.18856159507974096</v>
      </c>
    </row>
    <row r="6" spans="1:6">
      <c r="A6" s="2">
        <v>44196</v>
      </c>
      <c r="B6" s="6">
        <v>1256.48</v>
      </c>
      <c r="C6" s="6">
        <v>1519.4147826086901</v>
      </c>
      <c r="D6" s="6">
        <v>2612.34</v>
      </c>
      <c r="E6" s="1">
        <v>650</v>
      </c>
      <c r="F6" s="9">
        <f t="shared" si="0"/>
        <v>0.42779628541194792</v>
      </c>
    </row>
    <row r="7" spans="1:6">
      <c r="A7" s="2">
        <v>44286</v>
      </c>
      <c r="B7" s="6">
        <v>1314.46</v>
      </c>
      <c r="C7" s="6">
        <v>1608.61944444444</v>
      </c>
      <c r="D7" s="6">
        <v>2765.98</v>
      </c>
      <c r="E7" s="1">
        <v>715</v>
      </c>
      <c r="F7" s="9">
        <f t="shared" si="0"/>
        <v>0.44448051555595586</v>
      </c>
    </row>
    <row r="8" spans="1:6">
      <c r="A8" s="2">
        <v>44377</v>
      </c>
      <c r="B8" s="6">
        <v>1325.27</v>
      </c>
      <c r="C8" s="6">
        <v>1794.1598901098901</v>
      </c>
      <c r="D8" s="6">
        <v>2255.59</v>
      </c>
      <c r="E8" s="1">
        <v>143</v>
      </c>
      <c r="F8" s="9">
        <f t="shared" si="0"/>
        <v>7.9703041400196184E-2</v>
      </c>
    </row>
    <row r="9" spans="1:6">
      <c r="A9" s="2">
        <v>44469</v>
      </c>
      <c r="B9" s="6">
        <v>1378.15</v>
      </c>
      <c r="C9" s="6">
        <v>1873.1208695652099</v>
      </c>
      <c r="D9" s="6">
        <v>2517.34</v>
      </c>
      <c r="E9" s="1">
        <v>170</v>
      </c>
      <c r="F9" s="9">
        <f t="shared" si="0"/>
        <v>9.0757624220726626E-2</v>
      </c>
    </row>
    <row r="10" spans="1:6">
      <c r="A10" s="2">
        <v>44561</v>
      </c>
      <c r="B10" s="6">
        <v>1256.27</v>
      </c>
      <c r="C10" s="6">
        <v>1488.3125</v>
      </c>
      <c r="D10" s="6">
        <v>2429.54</v>
      </c>
      <c r="E10" s="1">
        <v>154</v>
      </c>
      <c r="F10" s="9">
        <f t="shared" si="0"/>
        <v>0.10347289295762818</v>
      </c>
    </row>
    <row r="11" spans="1:6">
      <c r="A11" s="2">
        <v>44651</v>
      </c>
      <c r="B11" s="6">
        <v>1349.35</v>
      </c>
      <c r="C11" s="6">
        <v>1767.89255555555</v>
      </c>
      <c r="D11" s="6">
        <v>2572.04</v>
      </c>
      <c r="E11" s="1">
        <v>273</v>
      </c>
      <c r="F11" s="9">
        <f t="shared" si="0"/>
        <v>0.15442114914851901</v>
      </c>
    </row>
    <row r="12" spans="1:6">
      <c r="A12" s="2">
        <v>44742</v>
      </c>
      <c r="B12" s="6">
        <v>1432.33</v>
      </c>
      <c r="C12" s="6">
        <v>1881.0378021977999</v>
      </c>
      <c r="D12" s="6">
        <v>2388.35</v>
      </c>
      <c r="E12" s="1">
        <v>377</v>
      </c>
      <c r="F12" s="9">
        <f t="shared" si="0"/>
        <v>0.20042127784966052</v>
      </c>
    </row>
    <row r="13" spans="1:6">
      <c r="A13" s="2">
        <v>44834</v>
      </c>
      <c r="B13" s="6">
        <v>1646.05</v>
      </c>
      <c r="C13" s="6">
        <v>2084.4068478260801</v>
      </c>
      <c r="D13" s="6">
        <v>2514.2600000000002</v>
      </c>
      <c r="E13" s="1">
        <v>375</v>
      </c>
      <c r="F13" s="9">
        <f t="shared" si="0"/>
        <v>0.17990729611692843</v>
      </c>
    </row>
    <row r="14" spans="1:6">
      <c r="A14" s="2">
        <v>44926</v>
      </c>
      <c r="B14" s="6">
        <v>1337.67</v>
      </c>
      <c r="C14" s="6">
        <v>1597.6869565217301</v>
      </c>
      <c r="D14" s="6">
        <v>2834.54</v>
      </c>
      <c r="E14" s="1">
        <v>254</v>
      </c>
      <c r="F14" s="9">
        <f t="shared" si="0"/>
        <v>0.1589798295361782</v>
      </c>
    </row>
    <row r="15" spans="1:6">
      <c r="A15" s="2">
        <v>45016</v>
      </c>
      <c r="B15" s="6">
        <v>1363.09</v>
      </c>
      <c r="C15" s="6">
        <v>1754.4849999999999</v>
      </c>
      <c r="D15" s="6">
        <v>3141.66</v>
      </c>
      <c r="E15" s="1">
        <v>322</v>
      </c>
      <c r="F15" s="9">
        <f t="shared" si="0"/>
        <v>0.18352963975183603</v>
      </c>
    </row>
    <row r="16" spans="1:6">
      <c r="A16" s="2">
        <v>45107</v>
      </c>
      <c r="B16" s="6">
        <v>1405.62</v>
      </c>
      <c r="C16" s="6">
        <v>1876.2446153846099</v>
      </c>
      <c r="D16" s="6">
        <v>2562.9499999999998</v>
      </c>
      <c r="E16" s="1">
        <v>344</v>
      </c>
      <c r="F16" s="9">
        <f t="shared" si="0"/>
        <v>0.18334496322031213</v>
      </c>
    </row>
    <row r="17" spans="1:6">
      <c r="A17" s="2">
        <v>45199</v>
      </c>
      <c r="B17" s="6">
        <v>1457.12</v>
      </c>
      <c r="C17" s="6">
        <v>1903.38413043478</v>
      </c>
      <c r="D17" s="6">
        <v>2386.7600000000002</v>
      </c>
      <c r="E17" s="1">
        <v>302</v>
      </c>
      <c r="F17" s="9">
        <f t="shared" si="0"/>
        <v>0.15866476722752529</v>
      </c>
    </row>
    <row r="18" spans="1:6">
      <c r="A18" s="2">
        <v>45291</v>
      </c>
      <c r="B18" s="6">
        <v>1325.82</v>
      </c>
      <c r="C18" s="6">
        <v>1564.02684782608</v>
      </c>
      <c r="D18" s="6">
        <v>2402.64</v>
      </c>
      <c r="E18" s="1">
        <v>299</v>
      </c>
      <c r="F18" s="9">
        <f t="shared" si="0"/>
        <v>0.19117318888457396</v>
      </c>
    </row>
    <row r="19" spans="1:6">
      <c r="A19" s="2">
        <v>45382</v>
      </c>
      <c r="B19" s="6">
        <v>1394.96</v>
      </c>
      <c r="C19" s="6">
        <v>1848.13637362637</v>
      </c>
      <c r="D19" s="6">
        <v>2828.85</v>
      </c>
      <c r="E19" s="1">
        <v>448</v>
      </c>
      <c r="F19" s="9">
        <f t="shared" si="0"/>
        <v>0.24240635398617522</v>
      </c>
    </row>
    <row r="20" spans="1:6">
      <c r="A20" s="2">
        <v>45473</v>
      </c>
      <c r="B20" s="6">
        <v>1483.44</v>
      </c>
      <c r="C20" s="6">
        <v>1878.2614285714201</v>
      </c>
      <c r="D20" s="6">
        <v>2582.41</v>
      </c>
      <c r="E20" s="1">
        <v>263</v>
      </c>
      <c r="F20" s="9">
        <f t="shared" si="0"/>
        <v>0.1400231064746052</v>
      </c>
    </row>
    <row r="21" spans="1:6">
      <c r="A21" s="2">
        <v>45565</v>
      </c>
      <c r="B21" s="6">
        <v>1546.33</v>
      </c>
      <c r="C21" s="6">
        <v>1963.7377173913001</v>
      </c>
      <c r="D21" s="6">
        <v>2547.84</v>
      </c>
      <c r="E21" s="1">
        <v>308</v>
      </c>
      <c r="F21" s="9">
        <f t="shared" si="0"/>
        <v>0.15684375630833139</v>
      </c>
    </row>
    <row r="22" spans="1:6">
      <c r="A22" s="2">
        <v>45657</v>
      </c>
      <c r="B22" s="6">
        <v>1242.2</v>
      </c>
      <c r="C22" s="6">
        <v>1616.26565217391</v>
      </c>
      <c r="D22" s="6">
        <v>2702.61</v>
      </c>
      <c r="E22" s="1">
        <v>319</v>
      </c>
      <c r="F22" s="9">
        <f t="shared" si="0"/>
        <v>0.19736854493624767</v>
      </c>
    </row>
    <row r="23" spans="1:6">
      <c r="A23" s="2">
        <v>45747</v>
      </c>
      <c r="B23" s="6">
        <v>1482.28</v>
      </c>
      <c r="C23" s="6">
        <v>1967.2512222222199</v>
      </c>
      <c r="D23" s="6">
        <v>3326.91</v>
      </c>
      <c r="E23" s="1">
        <v>454</v>
      </c>
      <c r="F23" s="9">
        <f t="shared" si="0"/>
        <v>0.23077886284760246</v>
      </c>
    </row>
    <row r="24" spans="1:6">
      <c r="A24" s="5">
        <v>45838</v>
      </c>
      <c r="B24" s="7">
        <v>1515.78</v>
      </c>
      <c r="C24" s="7">
        <v>1957.53626373626</v>
      </c>
      <c r="D24" s="7">
        <v>2569.59</v>
      </c>
      <c r="E24" s="4">
        <v>318</v>
      </c>
      <c r="F24" s="10">
        <f t="shared" si="0"/>
        <v>0.16244909782312178</v>
      </c>
    </row>
  </sheetData>
  <mergeCells count="3">
    <mergeCell ref="A1:A2"/>
    <mergeCell ref="B1:D1"/>
    <mergeCell ref="E1:F1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docMetadata/LabelInfo.xml><?xml version="1.0" encoding="utf-8"?>
<clbl:labelList xmlns:clbl="http://schemas.microsoft.com/office/2020/mipLabelMetadata">
  <clbl:label id="{2e6ba7ff-9897-4e65-9803-3be34fd9cf5a}" enabled="1" method="Privileged" siteId="{8c3c81bc-2b3c-44af-b3f7-6f620b3910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Markus MANNHEIM</cp:lastModifiedBy>
  <cp:revision/>
  <dcterms:created xsi:type="dcterms:W3CDTF">2025-10-01T00:26:02Z</dcterms:created>
  <dcterms:modified xsi:type="dcterms:W3CDTF">2025-10-01T03:41:27Z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6ba7ff-9897-4e65-9803-3be34fd9cf5a_Enabled">
    <vt:lpwstr>true</vt:lpwstr>
  </property>
  <property fmtid="{D5CDD505-2E9C-101B-9397-08002B2CF9AE}" pid="3" name="MSIP_Label_2e6ba7ff-9897-4e65-9803-3be34fd9cf5a_SetDate">
    <vt:lpwstr>2025-10-01T00:26:02Z</vt:lpwstr>
  </property>
  <property fmtid="{D5CDD505-2E9C-101B-9397-08002B2CF9AE}" pid="4" name="MSIP_Label_2e6ba7ff-9897-4e65-9803-3be34fd9cf5a_Method">
    <vt:lpwstr>Standard</vt:lpwstr>
  </property>
  <property fmtid="{D5CDD505-2E9C-101B-9397-08002B2CF9AE}" pid="5" name="MSIP_Label_2e6ba7ff-9897-4e65-9803-3be34fd9cf5a_Name">
    <vt:lpwstr>OFFICIAL</vt:lpwstr>
  </property>
  <property fmtid="{D5CDD505-2E9C-101B-9397-08002B2CF9AE}" pid="6" name="MSIP_Label_2e6ba7ff-9897-4e65-9803-3be34fd9cf5a_SiteId">
    <vt:lpwstr>8c3c81bc-2b3c-44af-b3f7-6f620b3910ee</vt:lpwstr>
  </property>
  <property fmtid="{D5CDD505-2E9C-101B-9397-08002B2CF9AE}" pid="7" name="MSIP_Label_2e6ba7ff-9897-4e65-9803-3be34fd9cf5a_ActionId">
    <vt:lpwstr>de7dbb21-9ba2-4b24-a3ff-7db03eff6743</vt:lpwstr>
  </property>
  <property fmtid="{D5CDD505-2E9C-101B-9397-08002B2CF9AE}" pid="8" name="MSIP_Label_2e6ba7ff-9897-4e65-9803-3be34fd9cf5a_ContentBits">
    <vt:lpwstr>0</vt:lpwstr>
  </property>
</Properties>
</file>